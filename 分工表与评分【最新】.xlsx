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分工与评分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<sst xmlns="http://schemas.openxmlformats.org/spreadsheetml/2006/main" count="45" uniqueCount="45">
  <si>
    <t>组号：</t>
  </si>
  <si>
    <t>人数：</t>
  </si>
  <si>
    <t>撰写分工（每个项目由且只由一个学生负责）</t>
  </si>
  <si>
    <t>学号</t>
  </si>
  <si>
    <t>姓名</t>
  </si>
  <si>
    <t>得分</t>
  </si>
  <si>
    <t>权重和</t>
  </si>
  <si>
    <t>3.2.1</t>
  </si>
  <si>
    <t>3.2.2</t>
  </si>
  <si>
    <t>3.2.3</t>
  </si>
  <si>
    <t>3.2.4</t>
  </si>
  <si>
    <t>X.1</t>
  </si>
  <si>
    <t>X.2</t>
  </si>
  <si>
    <t>X.3</t>
  </si>
  <si>
    <t>X.4</t>
  </si>
  <si>
    <t>X.5</t>
  </si>
  <si>
    <t>姓名1</t>
  </si>
  <si>
    <t>姓名2</t>
  </si>
  <si>
    <t>姓名3</t>
  </si>
  <si>
    <t>姓名4</t>
  </si>
  <si>
    <t>姓名5</t>
  </si>
  <si>
    <t>姓名6</t>
  </si>
  <si>
    <t>各项权重</t>
  </si>
  <si>
    <t>教师评分</t>
  </si>
  <si>
    <t>分工项目</t>
  </si>
  <si>
    <t>1.2. 设计方案</t>
  </si>
  <si>
    <t>3.1. 待测指标的理论值推导</t>
  </si>
  <si>
    <t>4. 系统改进【可选】</t>
  </si>
  <si>
    <t>X.1 图表、公式</t>
  </si>
  <si>
    <t>2.1. 信源</t>
  </si>
  <si>
    <t>3.2.1. 理想情况下</t>
  </si>
  <si>
    <t>5.1. 设计完成情况</t>
  </si>
  <si>
    <t>X.2 代码（正文中的）</t>
  </si>
  <si>
    <t>2.2. 信道</t>
  </si>
  <si>
    <t>3.2.2. 信源非理想情况下</t>
  </si>
  <si>
    <t>5.2. 经验与收获</t>
  </si>
  <si>
    <t>X.3 全文排版</t>
  </si>
  <si>
    <t>2.3. 信源编解码</t>
  </si>
  <si>
    <t>3.2.3. 信道非理想情况下</t>
  </si>
  <si>
    <t>6. 参考文献</t>
  </si>
  <si>
    <t>X.4 运行测试</t>
  </si>
  <si>
    <t>2.4. 信道编解码</t>
  </si>
  <si>
    <t>3.2.4. 一般非理想情况下</t>
  </si>
  <si>
    <t>7. 附录——相关技术简介</t>
  </si>
  <si>
    <t>X.5 文档汇总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</si>
</sst>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b/>
      <sz val="10"/>
      <color theme="4" tint="-0.249977111117893"/>
      <name val="微软雅黑"/>
      <charset val="134"/>
    </font>
    <font>
      <sz val="10"/>
      <color theme="4" tint="-0.249977111117893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shrinkToFit="1"/>
    </xf>
    <xf numFmtId="0" fontId="2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9"/>
  <sheetViews>
    <sheetView tabSelected="1" zoomScale="130" zoomScaleNormal="130" zoomScalePageLayoutView="130" zoomScaleSheetLayoutView="130" topLeftCell="D1" workbookViewId="0">
      <selection activeCell="Z9" sqref="Z9"/>
    </sheetView>
  </sheetViews>
  <sheetFormatPr defaultColWidth="8.72222222222222" defaultRowHeight="15.6"/>
  <cols>
    <col min="1" max="2" width="8.72222222222222" style="1"/>
    <col min="3" max="3" width="7.53703703703704" style="1" customWidth="1"/>
    <col min="4" max="4" width="8.72222222222222" style="1"/>
    <col min="5" max="24" width="4.62962962962963" style="1" customWidth="1"/>
    <col min="25" max="16384" width="8.72222222222222" style="1"/>
  </cols>
  <sheetData>
    <row r="1" spans="1:24">
      <c r="A1" s="2" t="s">
        <v>0</v>
      </c>
      <c r="B1" s="3">
        <v>1</v>
      </c>
      <c r="C1" s="2" t="s">
        <v>1</v>
      </c>
      <c r="D1" s="4">
        <f>COUNTA(B3:B9)</f>
        <v>6</v>
      </c>
      <c r="E1" s="5" t="s">
        <v>2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>
      <c r="A2" s="7" t="s">
        <v>3</v>
      </c>
      <c r="B2" s="7" t="s">
        <v>4</v>
      </c>
      <c r="C2" s="7" t="s">
        <v>5</v>
      </c>
      <c r="D2" s="7" t="s">
        <v>6</v>
      </c>
      <c r="E2" s="8">
        <v>1.2</v>
      </c>
      <c r="F2" s="8">
        <v>2.1</v>
      </c>
      <c r="G2" s="8">
        <v>2.2</v>
      </c>
      <c r="H2" s="8">
        <v>2.3</v>
      </c>
      <c r="I2" s="8">
        <v>2.4</v>
      </c>
      <c r="J2" s="8">
        <v>3.1</v>
      </c>
      <c r="K2" s="8" t="s">
        <v>7</v>
      </c>
      <c r="L2" s="8" t="s">
        <v>8</v>
      </c>
      <c r="M2" s="8" t="s">
        <v>9</v>
      </c>
      <c r="N2" s="8" t="s">
        <v>10</v>
      </c>
      <c r="O2" s="8">
        <v>4</v>
      </c>
      <c r="P2" s="8">
        <v>5.1</v>
      </c>
      <c r="Q2" s="8">
        <v>5.2</v>
      </c>
      <c r="R2" s="8">
        <v>6</v>
      </c>
      <c r="S2" s="8">
        <v>7</v>
      </c>
      <c r="T2" s="8" t="s">
        <v>11</v>
      </c>
      <c r="U2" s="8" t="s">
        <v>12</v>
      </c>
      <c r="V2" s="8" t="s">
        <v>13</v>
      </c>
      <c r="W2" s="8" t="s">
        <v>14</v>
      </c>
      <c r="X2" s="8" t="s">
        <v>15</v>
      </c>
    </row>
    <row r="3" spans="1:24">
      <c r="A3" s="9">
        <v>1234567891</v>
      </c>
      <c r="B3" s="9" t="s">
        <v>16</v>
      </c>
      <c r="C3" s="4"/>
      <c r="D3" s="4" cm="1">
        <f t="array" ref="D3">SUMPRODUCT(E3:X3,E$10:X$10)</f>
        <v>0.17</v>
      </c>
      <c r="E3" s="10">
        <v>1</v>
      </c>
      <c r="F3" s="10">
        <v>1</v>
      </c>
      <c r="G3" s="10"/>
      <c r="H3" s="10"/>
      <c r="I3" s="10"/>
      <c r="J3" s="10"/>
      <c r="K3" s="10"/>
      <c r="L3" s="10">
        <v>1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24">
      <c r="A4" s="9">
        <v>1234567892</v>
      </c>
      <c r="B4" s="9" t="s">
        <v>17</v>
      </c>
      <c r="C4" s="4"/>
      <c r="D4" s="4" cm="1">
        <f t="array" ref="D4">SUMPRODUCT(E4:X4,E$10:X$10)</f>
        <v>0.16</v>
      </c>
      <c r="E4" s="10"/>
      <c r="F4" s="10"/>
      <c r="G4" s="10">
        <v>1</v>
      </c>
      <c r="H4" s="10"/>
      <c r="I4" s="10"/>
      <c r="J4" s="10"/>
      <c r="K4" s="10"/>
      <c r="L4" s="10"/>
      <c r="M4" s="10">
        <v>1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24">
      <c r="A5" s="9">
        <v>1234567893</v>
      </c>
      <c r="B5" s="9" t="s">
        <v>18</v>
      </c>
      <c r="C5" s="4"/>
      <c r="D5" s="4" cm="1">
        <f t="array" ref="D5">SUMPRODUCT(E5:X5,E$10:X$10)</f>
        <v>0.16</v>
      </c>
      <c r="E5" s="10"/>
      <c r="F5" s="10"/>
      <c r="G5" s="10"/>
      <c r="H5" s="10">
        <v>1</v>
      </c>
      <c r="I5" s="10"/>
      <c r="J5" s="10"/>
      <c r="K5" s="10"/>
      <c r="L5" s="10"/>
      <c r="M5" s="10"/>
      <c r="N5" s="10"/>
      <c r="O5" s="10"/>
      <c r="P5" s="10">
        <v>1</v>
      </c>
      <c r="Q5" s="10">
        <v>1</v>
      </c>
      <c r="R5" s="10">
        <v>1</v>
      </c>
      <c r="S5" s="10">
        <v>1</v>
      </c>
      <c r="T5" s="10"/>
      <c r="U5" s="10"/>
      <c r="V5" s="10"/>
      <c r="W5" s="10"/>
      <c r="X5" s="10"/>
    </row>
    <row r="6" spans="1:24">
      <c r="A6" s="9">
        <v>1234567894</v>
      </c>
      <c r="B6" s="9" t="s">
        <v>19</v>
      </c>
      <c r="C6" s="4"/>
      <c r="D6" s="4" cm="1">
        <f t="array" ref="D6">SUMPRODUCT(E6:X6,E$10:X$10)</f>
        <v>0.17</v>
      </c>
      <c r="E6" s="10"/>
      <c r="F6" s="10"/>
      <c r="G6" s="10"/>
      <c r="H6" s="10"/>
      <c r="I6" s="10">
        <v>1</v>
      </c>
      <c r="J6" s="10"/>
      <c r="K6" s="10"/>
      <c r="L6" s="10"/>
      <c r="M6" s="10"/>
      <c r="N6" s="10"/>
      <c r="O6" s="10">
        <v>1</v>
      </c>
      <c r="P6" s="10"/>
      <c r="Q6" s="10"/>
      <c r="R6" s="10"/>
      <c r="S6" s="10"/>
      <c r="T6" s="10"/>
      <c r="U6" s="10"/>
      <c r="V6" s="10"/>
      <c r="W6" s="10"/>
      <c r="X6" s="10"/>
    </row>
    <row r="7" spans="1:24">
      <c r="A7" s="9">
        <v>1234567895</v>
      </c>
      <c r="B7" s="9" t="s">
        <v>20</v>
      </c>
      <c r="C7" s="4"/>
      <c r="D7" s="4" cm="1">
        <f t="array" ref="D7">SUMPRODUCT(E7:X7,E$10:X$10)</f>
        <v>0.17</v>
      </c>
      <c r="E7" s="10"/>
      <c r="F7" s="10"/>
      <c r="G7" s="10"/>
      <c r="H7" s="10"/>
      <c r="I7" s="10"/>
      <c r="J7" s="10">
        <v>1</v>
      </c>
      <c r="K7" s="10"/>
      <c r="L7" s="10"/>
      <c r="M7" s="10"/>
      <c r="N7" s="10"/>
      <c r="O7" s="10"/>
      <c r="P7" s="10"/>
      <c r="Q7" s="10"/>
      <c r="R7" s="10"/>
      <c r="S7" s="10"/>
      <c r="T7" s="10">
        <v>1</v>
      </c>
      <c r="U7" s="10">
        <v>1</v>
      </c>
      <c r="V7" s="10">
        <v>1</v>
      </c>
      <c r="W7" s="10">
        <v>1</v>
      </c>
      <c r="X7" s="10"/>
    </row>
    <row r="8" spans="1:24">
      <c r="A8" s="9">
        <v>1234567896</v>
      </c>
      <c r="B8" s="9" t="s">
        <v>21</v>
      </c>
      <c r="C8" s="4"/>
      <c r="D8" s="4" cm="1">
        <f t="array" ref="D8">SUMPRODUCT(E8:X8,E$10:X$10)</f>
        <v>0.17</v>
      </c>
      <c r="E8" s="10"/>
      <c r="F8" s="10"/>
      <c r="G8" s="10"/>
      <c r="H8" s="10"/>
      <c r="I8" s="10"/>
      <c r="J8" s="10"/>
      <c r="K8" s="10">
        <v>1</v>
      </c>
      <c r="L8" s="10"/>
      <c r="M8" s="10"/>
      <c r="N8" s="10">
        <v>1</v>
      </c>
      <c r="O8" s="10"/>
      <c r="P8" s="10"/>
      <c r="Q8" s="10"/>
      <c r="R8" s="10"/>
      <c r="S8" s="10"/>
      <c r="T8" s="10"/>
      <c r="U8" s="10"/>
      <c r="V8" s="10"/>
      <c r="W8" s="10"/>
      <c r="X8" s="10">
        <v>1</v>
      </c>
    </row>
    <row r="9" spans="1:24">
      <c r="A9" s="9"/>
      <c r="B9" s="9"/>
      <c r="C9" s="4"/>
      <c r="D9" s="4" cm="1">
        <f t="array" ref="D9">SUMPRODUCT(E9:X9,E$10:X$10)</f>
        <v>0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>
      <c r="A10" s="11"/>
      <c r="C10" s="12" t="str">
        <f>"权重和："&amp;SUM(E10:X10)</f>
        <v>权重和：1</v>
      </c>
      <c r="D10" s="12" t="s">
        <v>22</v>
      </c>
      <c r="E10" s="10">
        <v>0.01</v>
      </c>
      <c r="F10" s="10">
        <v>0.08</v>
      </c>
      <c r="G10" s="10">
        <v>0.08</v>
      </c>
      <c r="H10" s="10">
        <v>0.09</v>
      </c>
      <c r="I10" s="10">
        <v>0.09</v>
      </c>
      <c r="J10" s="10">
        <v>0.08</v>
      </c>
      <c r="K10" s="10">
        <v>0.08</v>
      </c>
      <c r="L10" s="10">
        <v>0.08</v>
      </c>
      <c r="M10" s="10">
        <v>0.08</v>
      </c>
      <c r="N10" s="10">
        <v>0.08</v>
      </c>
      <c r="O10" s="10">
        <v>0.08</v>
      </c>
      <c r="P10" s="10">
        <v>0.01</v>
      </c>
      <c r="Q10" s="10">
        <v>0.02</v>
      </c>
      <c r="R10" s="10">
        <v>0.02</v>
      </c>
      <c r="S10" s="10">
        <v>0.02</v>
      </c>
      <c r="T10" s="10">
        <v>0.02</v>
      </c>
      <c r="U10" s="10">
        <v>0.02</v>
      </c>
      <c r="V10" s="10">
        <v>0.03</v>
      </c>
      <c r="W10" s="10">
        <v>0.02</v>
      </c>
      <c r="X10" s="10">
        <v>0.01</v>
      </c>
    </row>
    <row r="11" spans="1:24">
      <c r="A11" s="11"/>
      <c r="D11" s="13" t="s">
        <v>23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4" spans="1:24">
      <c r="E14" s="6" t="s">
        <v>24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>
      <c r="E15" s="1" t="s">
        <v>25</v>
      </c>
      <c r="J15" s="1" t="s">
        <v>26</v>
      </c>
      <c r="O15" s="1" t="s">
        <v>27</v>
      </c>
      <c r="T15" s="1" t="s">
        <v>28</v>
      </c>
    </row>
    <row r="16" spans="1:24">
      <c r="E16" s="1" t="s">
        <v>29</v>
      </c>
      <c r="J16" s="1" t="s">
        <v>30</v>
      </c>
      <c r="O16" s="1" t="s">
        <v>31</v>
      </c>
      <c r="T16" s="1" t="s">
        <v>32</v>
      </c>
    </row>
    <row r="17" spans="5:20">
      <c r="E17" s="1" t="s">
        <v>33</v>
      </c>
      <c r="J17" s="1" t="s">
        <v>34</v>
      </c>
      <c r="O17" s="1" t="s">
        <v>35</v>
      </c>
      <c r="T17" s="1" t="s">
        <v>36</v>
      </c>
    </row>
    <row r="18" spans="5:20">
      <c r="E18" s="1" t="s">
        <v>37</v>
      </c>
      <c r="J18" s="1" t="s">
        <v>38</v>
      </c>
      <c r="O18" s="1" t="s">
        <v>39</v>
      </c>
      <c r="T18" s="1" t="s">
        <v>40</v>
      </c>
    </row>
    <row r="19" spans="5:20">
      <c r="E19" s="1" t="s">
        <v>41</v>
      </c>
      <c r="J19" s="1" t="s">
        <v>42</v>
      </c>
      <c r="O19" s="1" t="s">
        <v>43</v>
      </c>
      <c r="T19" s="1" t="s">
        <v>44</v>
      </c>
    </row>
  </sheetData>
  <mergeCells count="2">
    <mergeCell ref="E1:X1"/>
    <mergeCell ref="E14:X14"/>
  </mergeCells>
  <pageMargins left="0.751388888888889" right="0.751388888888889" top="1" bottom="1" header="0.5" footer="0.5"/>
  <pageSetup paperSize="9" orientation="landscape"/>
  <headerFooter>
    <oddHeader>&amp;C&amp;24分工与评分表——翻译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分工与评分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林晓茵</cp:lastModifiedBy>
  <dcterms:created xsi:type="dcterms:W3CDTF">2020-12-22T02:18:00Z</dcterms:created>
  <dcterms:modified xsi:type="dcterms:W3CDTF">2025-12-22T16:41:59Z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KSOReadingLayout">
    <vt:bool>true</vt:bool>
  </property>
  <property fmtid="{D5CDD505-2E9C-101B-9397-08002B2CF9AE}" pid="4" name="ICV">
    <vt:lpwstr>7684F9B4A7614BB08DB563A521EA563F</vt:lpwstr>
  </property>
  <property fmtid="{D5CDD505-2E9C-101B-9397-08002B2CF9AE}" pid="5" name="CalculationRule">
    <vt:i4>0</vt:i4>
  </property>
</Properties>
</file>